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Defect Links" sheetId="3" state="visible" r:id="rId5"/>
  </sheets>
  <definedNames>
    <definedName function="false" hidden="true" localSheetId="0" name="_xlnm._FilterDatabase" vbProcedure="false">'Test Cases'!$A$1:$L$50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<sst xmlns="http://schemas.openxmlformats.org/spreadsheetml/2006/main" count="602" uniqueCount="315">
  <si>
    <t xml:space="preserve">Test ID</t>
  </si>
  <si>
    <t xml:space="preserve">Application</t>
  </si>
  <si>
    <t xml:space="preserve">Module</t>
  </si>
  <si>
    <t xml:space="preserve">Test Case</t>
  </si>
  <si>
    <t xml:space="preserve">Type</t>
  </si>
  <si>
    <t xml:space="preserve">Priority</t>
  </si>
  <si>
    <t xml:space="preserve">Steps</t>
  </si>
  <si>
    <t xml:space="preserve">Expected Result</t>
  </si>
  <si>
    <t xml:space="preserve">Result</t>
  </si>
  <si>
    <t xml:space="preserve">Defect ID</t>
  </si>
  <si>
    <t xml:space="preserve">Evidence</t>
  </si>
  <si>
    <t xml:space="preserve">Spec File</t>
  </si>
  <si>
    <t xml:space="preserve">FS-01</t>
  </si>
  <si>
    <t xml:space="preserve">FinServe</t>
  </si>
  <si>
    <t xml:space="preserve">Authentication</t>
  </si>
  <si>
    <t xml:space="preserve">Customer signs in with valid credentials</t>
  </si>
  <si>
    <t xml:space="preserve">Positive</t>
  </si>
  <si>
    <t xml:space="preserve">High</t>
  </si>
  <si>
    <t xml:space="preserve">1. Open /login
2. Enter qauser@finserve.test and the password
3. Submit</t>
  </si>
  <si>
    <t xml:space="preserve">Dashboard loads and the session is established</t>
  </si>
  <si>
    <t xml:space="preserve">Pass</t>
  </si>
  <si>
    <t xml:space="preserve">Screenshot of dashboard</t>
  </si>
  <si>
    <t xml:space="preserve">tests/login.spec.js</t>
  </si>
  <si>
    <t xml:space="preserve">FS-02</t>
  </si>
  <si>
    <t xml:space="preserve">Wrong password is refused with a message</t>
  </si>
  <si>
    <t xml:space="preserve">Negative</t>
  </si>
  <si>
    <t xml:space="preserve">1. Open /login
2. Enter a valid email with a wrong password
3. Submit</t>
  </si>
  <si>
    <t xml:space="preserve">Stays on /login, field error shown, no session created</t>
  </si>
  <si>
    <t xml:space="preserve">Screenshot of error</t>
  </si>
  <si>
    <t xml:space="preserve">FS-03</t>
  </si>
  <si>
    <t xml:space="preserve">Locked account cannot sign in</t>
  </si>
  <si>
    <t xml:space="preserve">1. Open /login
2. Enter locked@finserve.test with the correct password
3. Submit</t>
  </si>
  <si>
    <t xml:space="preserve">Sign-in refused. A locked account must never reach the dashboard</t>
  </si>
  <si>
    <t xml:space="preserve">Screenshot of refusal</t>
  </si>
  <si>
    <t xml:space="preserve">FS-04</t>
  </si>
  <si>
    <t xml:space="preserve">Customer with no holdings sees empty states</t>
  </si>
  <si>
    <t xml:space="preserve">Medium</t>
  </si>
  <si>
    <t xml:space="preserve">1. Sign in as newuser@finserve.test
2. Open the dashboard</t>
  </si>
  <si>
    <t xml:space="preserve">Dashboard renders with empty states rather than errors</t>
  </si>
  <si>
    <t xml:space="preserve">FS-05</t>
  </si>
  <si>
    <t xml:space="preserve">Mutual Funds</t>
  </si>
  <si>
    <t xml:space="preserve">Fund detail shows the fund's own minimum amounts</t>
  </si>
  <si>
    <t xml:space="preserve">1. Open /mutual-funds/7
2. Read NAV, minimum SIP and minimum lumpsum</t>
  </si>
  <si>
    <t xml:space="preserve">Minimum SIP 500 and minimum lumpsum 5,000 are shown for this fund</t>
  </si>
  <si>
    <t xml:space="preserve">Screenshot of detail page</t>
  </si>
  <si>
    <t xml:space="preserve">tests/funds.spec.js</t>
  </si>
  <si>
    <t xml:space="preserve">FS-06</t>
  </si>
  <si>
    <t xml:space="preserve">Category filter returns only matching funds</t>
  </si>
  <si>
    <t xml:space="preserve">1. Open /mutual-funds
2. Filter by Debt Fund
3. Read the category of every card returned</t>
  </si>
  <si>
    <t xml:space="preserve">Every returned fund carries the selected category</t>
  </si>
  <si>
    <t xml:space="preserve">Screenshot of filtered list</t>
  </si>
  <si>
    <t xml:space="preserve">FS-07</t>
  </si>
  <si>
    <t xml:space="preserve">Investment</t>
  </si>
  <si>
    <t xml:space="preserve">Amount below the fund minimum is refused</t>
  </si>
  <si>
    <t xml:space="preserve">Boundary</t>
  </si>
  <si>
    <t xml:space="preserve">1. Read minimum_lumpsum from the invest form
2. Enter one rupee below it
3. Submit</t>
  </si>
  <si>
    <t xml:space="preserve">Refused with a validation message. No transaction created</t>
  </si>
  <si>
    <t xml:space="preserve">Screenshot; fund minimum logged</t>
  </si>
  <si>
    <t xml:space="preserve">FS-08</t>
  </si>
  <si>
    <t xml:space="preserve">Lumpsum investment at the minimum completes</t>
  </si>
  <si>
    <t xml:space="preserve">1. Open the invest form
2. Enter exactly the minimum lumpsum
3. Select a payment method and confirm</t>
  </si>
  <si>
    <t xml:space="preserve">Investment accepted and a confirmation is shown</t>
  </si>
  <si>
    <t xml:space="preserve">Screenshot of confirmation</t>
  </si>
  <si>
    <t xml:space="preserve">FS-09</t>
  </si>
  <si>
    <t xml:space="preserve">Dashboard</t>
  </si>
  <si>
    <t xml:space="preserve">Portfolio value updates after an investment</t>
  </si>
  <si>
    <t xml:space="preserve">Reconciliation</t>
  </si>
  <si>
    <t xml:space="preserve">1. Record the dashboard portfolio value
2. Complete an investment
3. Return and re-read</t>
  </si>
  <si>
    <t xml:space="preserve">Value increases relative to the recorded baseline</t>
  </si>
  <si>
    <t xml:space="preserve">Screenshot before and after</t>
  </si>
  <si>
    <t xml:space="preserve">tests/dashboard.spec.js</t>
  </si>
  <si>
    <t xml:space="preserve">FS-10</t>
  </si>
  <si>
    <t xml:space="preserve">Recent transactions match the API</t>
  </si>
  <si>
    <t xml:space="preserve">1. Read the five most recent transactions from the API
2. Open the dashboard
3. Confirm each is listed</t>
  </si>
  <si>
    <t xml:space="preserve">Each of the five newest transactions appears on the dashboard</t>
  </si>
  <si>
    <t xml:space="preserve">Response body and screenshot</t>
  </si>
  <si>
    <t xml:space="preserve">FS-11</t>
  </si>
  <si>
    <t xml:space="preserve">Portfolio</t>
  </si>
  <si>
    <t xml:space="preserve">Portfolio total equals the sum of its holdings</t>
  </si>
  <si>
    <t xml:space="preserve">1. Open /portfolio
2. Read the total
3. Add up each holding's current value and compare</t>
  </si>
  <si>
    <t xml:space="preserve">Displayed total equals the sum within a rounding tolerance</t>
  </si>
  <si>
    <t xml:space="preserve">Computed and displayed values logged</t>
  </si>
  <si>
    <t xml:space="preserve">tests/portfolio.spec.js</t>
  </si>
  <si>
    <t xml:space="preserve">FS-12</t>
  </si>
  <si>
    <t xml:space="preserve">Transactions</t>
  </si>
  <si>
    <t xml:space="preserve">Transaction status on screen matches the API</t>
  </si>
  <si>
    <t xml:space="preserve">1. Read every transaction status from the API
2. Open /transactions
3. Compare each row</t>
  </si>
  <si>
    <t xml:space="preserve">Status is identical in both channels for every transaction</t>
  </si>
  <si>
    <t xml:space="preserve">DEF-02</t>
  </si>
  <si>
    <t xml:space="preserve">Screenshot and response body</t>
  </si>
  <si>
    <t xml:space="preserve">FS-13</t>
  </si>
  <si>
    <t xml:space="preserve">Status filter returns only matching rows</t>
  </si>
  <si>
    <t xml:space="preserve">1. Open /transactions
2. Filter by SUCCESS
3. Read the status of every row</t>
  </si>
  <si>
    <t xml:space="preserve">Every returned row carries the selected status</t>
  </si>
  <si>
    <t xml:space="preserve">Screenshot of filtered table</t>
  </si>
  <si>
    <t xml:space="preserve">FS-14</t>
  </si>
  <si>
    <t xml:space="preserve">Search by reference finds that exact transaction</t>
  </si>
  <si>
    <t xml:space="preserve">1. Take a reference from the table
2. Search for it
3. Read the results</t>
  </si>
  <si>
    <t xml:space="preserve">Exactly one row returns, and it is the transaction searched for</t>
  </si>
  <si>
    <t xml:space="preserve">Screenshot of result</t>
  </si>
  <si>
    <t xml:space="preserve">FS-15</t>
  </si>
  <si>
    <t xml:space="preserve">Redemption</t>
  </si>
  <si>
    <t xml:space="preserve">Redemption above the available value is refused</t>
  </si>
  <si>
    <t xml:space="preserve">1. Read the available holding value
2. Enter that value plus one
3. Submit</t>
  </si>
  <si>
    <t xml:space="preserve">Refused with a balance message. No redemption created</t>
  </si>
  <si>
    <t xml:space="preserve">Screenshot; available value logged</t>
  </si>
  <si>
    <t xml:space="preserve">tests/redeem.spec.js</t>
  </si>
  <si>
    <t xml:space="preserve">FS-16</t>
  </si>
  <si>
    <t xml:space="preserve">Redemption above the available units is refused</t>
  </si>
  <si>
    <t xml:space="preserve">1. Read available units
2. Enter units plus one
3. Submit</t>
  </si>
  <si>
    <t xml:space="preserve">Refused with a validation message</t>
  </si>
  <si>
    <t xml:space="preserve">Skipped</t>
  </si>
  <si>
    <t xml:space="preserve">Screenshot</t>
  </si>
  <si>
    <t xml:space="preserve">FS-17</t>
  </si>
  <si>
    <t xml:space="preserve">Redemption completes and reduces the holding</t>
  </si>
  <si>
    <t xml:space="preserve">1. Record the portfolio total and holding units
2. Redeem 1,000 by amount
3. Follow the View Portfolio link and re-read</t>
  </si>
  <si>
    <t xml:space="preserve">Confirmation shows a reference; holding units and portfolio total both reduce by the amount redeemed</t>
  </si>
  <si>
    <t xml:space="preserve">Screenshot of confirmation and portfolio</t>
  </si>
  <si>
    <t xml:space="preserve">FS-18</t>
  </si>
  <si>
    <t xml:space="preserve">Insurance</t>
  </si>
  <si>
    <t xml:space="preserve">Product listing shows only documented insurance types</t>
  </si>
  <si>
    <t xml:space="preserve">1. Open /insurance
2. Read the type badge on every product</t>
  </si>
  <si>
    <t xml:space="preserve">Every type is one of Term, Health, Motor or Travel Insurance</t>
  </si>
  <si>
    <t xml:space="preserve">Screenshot of listing</t>
  </si>
  <si>
    <t xml:space="preserve">tests/insurance.spec.js</t>
  </si>
  <si>
    <t xml:space="preserve">FS-19</t>
  </si>
  <si>
    <t xml:space="preserve">Type filter returns only that insurance type</t>
  </si>
  <si>
    <t xml:space="preserve">1. Filter by Motor Insurance
2. Read every returned product</t>
  </si>
  <si>
    <t xml:space="preserve">Every returned product is Motor Insurance</t>
  </si>
  <si>
    <t xml:space="preserve">FS-20</t>
  </si>
  <si>
    <t xml:space="preserve">Premium range filter returns premiums inside the band</t>
  </si>
  <si>
    <t xml:space="preserve">1. Filter by the 5,000 to 15,000 band
2. Parse every premium returned</t>
  </si>
  <si>
    <t xml:space="preserve">Every premium falls inside the selected band</t>
  </si>
  <si>
    <t xml:space="preserve">Screenshot; premiums logged</t>
  </si>
  <si>
    <t xml:space="preserve">FS-21</t>
  </si>
  <si>
    <t xml:space="preserve">Review premium matches the product premium</t>
  </si>
  <si>
    <t xml:space="preserve">1. Read the product premium on the purchase form
2. Read the review premium
3. Compare</t>
  </si>
  <si>
    <t xml:space="preserve">Both figures are identical</t>
  </si>
  <si>
    <t xml:space="preserve">Both values logged</t>
  </si>
  <si>
    <t xml:space="preserve">FS-22</t>
  </si>
  <si>
    <t xml:space="preserve">Missing nominee details block the purchase</t>
  </si>
  <si>
    <t xml:space="preserve">1. Clear nominee name and relationship
2. Complete the rest of the form
3. Submit</t>
  </si>
  <si>
    <t xml:space="preserve">Purchase refused with field-level errors. No policy created</t>
  </si>
  <si>
    <t xml:space="preserve">Screenshot of errors</t>
  </si>
  <si>
    <t xml:space="preserve">FS-23</t>
  </si>
  <si>
    <t xml:space="preserve">Purchase creates a policy for the right product and premium</t>
  </si>
  <si>
    <t xml:space="preserve">1. Note the advertised premium
2. Complete the purchase
3. Open /policies and read the newest policy</t>
  </si>
  <si>
    <t xml:space="preserve">Policy is Active, for the correct product, at the advertised premium, with a POL reference</t>
  </si>
  <si>
    <t xml:space="preserve">Screenshot of policy list</t>
  </si>
  <si>
    <t xml:space="preserve">FS-25</t>
  </si>
  <si>
    <t xml:space="preserve">Applicant above the eligible age is refused</t>
  </si>
  <si>
    <t xml:space="preserve">1. Read the eligible age range from the product page
2. Supply a date of birth one year above the maximum
3. Complete and submit the purchase</t>
  </si>
  <si>
    <t xml:space="preserve">Purchase refused. No policy is issued outside the stated eligibility</t>
  </si>
  <si>
    <t xml:space="preserve">Fail</t>
  </si>
  <si>
    <t xml:space="preserve">DEF-03</t>
  </si>
  <si>
    <t xml:space="preserve">Screenshot of Policy Created Successfully</t>
  </si>
  <si>
    <t xml:space="preserve">FS-26</t>
  </si>
  <si>
    <t xml:space="preserve">Applicant below the eligible age is refused</t>
  </si>
  <si>
    <t xml:space="preserve">1. Supply a date of birth one year below the stated minimum
2. Complete and submit the purchase</t>
  </si>
  <si>
    <t xml:space="preserve">Purchase refused. A minor must not be able to buy life cover</t>
  </si>
  <si>
    <t xml:space="preserve">Playwright failure output</t>
  </si>
  <si>
    <t xml:space="preserve">FS-27</t>
  </si>
  <si>
    <t xml:space="preserve">Profile</t>
  </si>
  <si>
    <t xml:space="preserve">PAN is masked and not exposed in the page source</t>
  </si>
  <si>
    <t xml:space="preserve">1. Open /profile
2. Read the PAN field
3. Search the page source for an unmasked PAN pattern</t>
  </si>
  <si>
    <t xml:space="preserve">PAN is masked on screen and no full PAN appears anywhere in the response</t>
  </si>
  <si>
    <t xml:space="preserve">Screenshot and page source check</t>
  </si>
  <si>
    <t xml:space="preserve">tests/profile.spec.js</t>
  </si>
  <si>
    <t xml:space="preserve">FS-28</t>
  </si>
  <si>
    <t xml:space="preserve">KYC and account status use documented values</t>
  </si>
  <si>
    <t xml:space="preserve">1. Open /profile
2. Read KYC status and account status</t>
  </si>
  <si>
    <t xml:space="preserve">KYC is VERIFIED, PENDING or REJECTED; account is ACTIVE or LOCKED</t>
  </si>
  <si>
    <t xml:space="preserve">Screenshot of profile</t>
  </si>
  <si>
    <t xml:space="preserve">FS-29</t>
  </si>
  <si>
    <t xml:space="preserve">API</t>
  </si>
  <si>
    <t xml:space="preserve">Request without an API key is refused</t>
  </si>
  <si>
    <t xml:space="preserve">1. GET /api/mutual-funds with no X-API-Key header
2. Read the status and body</t>
  </si>
  <si>
    <t xml:space="preserve">401 returned and no business data in the response</t>
  </si>
  <si>
    <t xml:space="preserve">Response logged</t>
  </si>
  <si>
    <t xml:space="preserve">tests/api/api.spec.js</t>
  </si>
  <si>
    <t xml:space="preserve">FS-30</t>
  </si>
  <si>
    <t xml:space="preserve">Request with an invalid API key is refused</t>
  </si>
  <si>
    <t xml:space="preserve">1. GET /api/mutual-funds with a wrong key
2. Read the status</t>
  </si>
  <si>
    <t xml:space="preserve">401 returned with the documented unauthorized envelope</t>
  </si>
  <si>
    <t xml:space="preserve">FS-31</t>
  </si>
  <si>
    <t xml:space="preserve">Fund list conforms to the documented shape</t>
  </si>
  <si>
    <t xml:space="preserve">1. GET /api/mutual-funds
2. Validate every item against the documented fields</t>
  </si>
  <si>
    <t xml:space="preserve">200 returned; each fund carries fund_code, nav, category, risk_level and both minimums of the expected types</t>
  </si>
  <si>
    <t xml:space="preserve">Response body attached</t>
  </si>
  <si>
    <t xml:space="preserve">FS-32</t>
  </si>
  <si>
    <t xml:space="preserve">Transactions use documented types and statuses</t>
  </si>
  <si>
    <t xml:space="preserve">1. GET /api/transactions
2. Compare every type and status against the permitted sets</t>
  </si>
  <si>
    <t xml:space="preserve">Every status is SUCCESS, PENDING, FAILED or CANCELLED and every type is documented</t>
  </si>
  <si>
    <t xml:space="preserve">FS-33</t>
  </si>
  <si>
    <t xml:space="preserve">1. GET /api/portfolio
2. Add up current_value across holdings
3. Compare against reported_portfolio_total</t>
  </si>
  <si>
    <t xml:space="preserve">Reported total equals the sum of the holdings it summarises</t>
  </si>
  <si>
    <t xml:space="preserve">DEF-01</t>
  </si>
  <si>
    <t xml:space="preserve">API response showing both fields; five runs at different totals</t>
  </si>
  <si>
    <t xml:space="preserve">FS-34</t>
  </si>
  <si>
    <t xml:space="preserve">Each holding gain equals current value minus invested</t>
  </si>
  <si>
    <t xml:space="preserve">1. GET /api/portfolio
2. For each holding compare gain_loss against current minus invested</t>
  </si>
  <si>
    <t xml:space="preserve">Every holding's gain reconciles</t>
  </si>
  <si>
    <t xml:space="preserve">OE-01</t>
  </si>
  <si>
    <t xml:space="preserve">Order Entry</t>
  </si>
  <si>
    <t xml:space="preserve">Approved agent signs in</t>
  </si>
  <si>
    <t xml:space="preserve">1. Open the Order Entry login page
2. Enter the agent credentials
3. Submit</t>
  </si>
  <si>
    <t xml:space="preserve">Agent reaches the dashboard</t>
  </si>
  <si>
    <t xml:space="preserve">tests/oe/login.spec.js</t>
  </si>
  <si>
    <t xml:space="preserve">OE-02</t>
  </si>
  <si>
    <t xml:space="preserve">Login page offers registration and password reset</t>
  </si>
  <si>
    <t xml:space="preserve">Low</t>
  </si>
  <si>
    <t xml:space="preserve">1. Open the login page
2. Confirm both links are present</t>
  </si>
  <si>
    <t xml:space="preserve">Register and Forgot password links are shown</t>
  </si>
  <si>
    <t xml:space="preserve">Screenshot of login page</t>
  </si>
  <si>
    <t xml:space="preserve">OE-03</t>
  </si>
  <si>
    <t xml:space="preserve">Dashboard shows all five status tiles</t>
  </si>
  <si>
    <t xml:space="preserve">1. Open the dashboard
2. Read each summary tile</t>
  </si>
  <si>
    <t xml:space="preserve">Draft, Submitted, Under Review, Approved and Requires Info all render a valid count</t>
  </si>
  <si>
    <t xml:space="preserve">Screenshot of tiles</t>
  </si>
  <si>
    <t xml:space="preserve">tests/oe/dashboard.spec.js</t>
  </si>
  <si>
    <t xml:space="preserve">OE-05</t>
  </si>
  <si>
    <t xml:space="preserve">Tile counts agree with the full application list</t>
  </si>
  <si>
    <t xml:space="preserve">1. Read the Draft and Submitted tiles
2. Open /applications
3. Count rows by status and compare</t>
  </si>
  <si>
    <t xml:space="preserve">Tile counts equal the number of applications in each state</t>
  </si>
  <si>
    <t xml:space="preserve">Both counts logged</t>
  </si>
  <si>
    <t xml:space="preserve">OE-06</t>
  </si>
  <si>
    <t xml:space="preserve">Beneficiaries</t>
  </si>
  <si>
    <t xml:space="preserve">Beneficiary type shows the matching detail panel</t>
  </si>
  <si>
    <t xml:space="preserve">1. Select Individual, then Trust, then Organization
2. Observe which panel is shown each time</t>
  </si>
  <si>
    <t xml:space="preserve">Only the panel matching the selected type is displayed</t>
  </si>
  <si>
    <t xml:space="preserve">Screenshot per type</t>
  </si>
  <si>
    <t xml:space="preserve">tests/oe/beneficiaries.spec.js</t>
  </si>
  <si>
    <t xml:space="preserve">OE-07</t>
  </si>
  <si>
    <t xml:space="preserve">Trust beneficiary requires trust and trustee names</t>
  </si>
  <si>
    <t xml:space="preserve">1. Add a beneficiary of type Trust
2. Leave the trust fields empty
3. Save</t>
  </si>
  <si>
    <t xml:space="preserve">Save refused with trust name and trustee name errors</t>
  </si>
  <si>
    <t xml:space="preserve">OE-08</t>
  </si>
  <si>
    <t xml:space="preserve">Allocation below 100% blocks progress to the next step</t>
  </si>
  <si>
    <t xml:space="preserve">1. Save a beneficiary at 60%
2. Click Continue</t>
  </si>
  <si>
    <t xml:space="preserve">Progress is blocked until primary allocation totals 100%</t>
  </si>
  <si>
    <t xml:space="preserve">DEF-05</t>
  </si>
  <si>
    <t xml:space="preserve">Screenshot of 60% summary and the Documents page reached</t>
  </si>
  <si>
    <t xml:space="preserve">OE-09</t>
  </si>
  <si>
    <t xml:space="preserve">Review</t>
  </si>
  <si>
    <t xml:space="preserve">Submit is disabled while blocking errors remain</t>
  </si>
  <si>
    <t xml:space="preserve">1. Open an incomplete application at review
2. Run validation
3. Inspect the Submit button</t>
  </si>
  <si>
    <t xml:space="preserve">Submit is disabled while blocking errors are listed</t>
  </si>
  <si>
    <t xml:space="preserve">Screenshot of review page</t>
  </si>
  <si>
    <t xml:space="preserve">tests/oe/review.spec.js</t>
  </si>
  <si>
    <t xml:space="preserve">OE-11</t>
  </si>
  <si>
    <t xml:space="preserve">Allocation below 100% is caught at review</t>
  </si>
  <si>
    <t xml:space="preserve">1. Open an application with a 60% allocation
2. Run validation
3. Read the blocking errors</t>
  </si>
  <si>
    <t xml:space="preserve">Validation reports the incomplete allocation</t>
  </si>
  <si>
    <t xml:space="preserve">Screenshot of validation passed with 60%</t>
  </si>
  <si>
    <t xml:space="preserve">OE-12</t>
  </si>
  <si>
    <t xml:space="preserve">Documents</t>
  </si>
  <si>
    <t xml:space="preserve">Application with no documents cannot reach review</t>
  </si>
  <si>
    <t xml:space="preserve">1. Open the documents step of an application with no uploads
2. Click Continue to Review</t>
  </si>
  <si>
    <t xml:space="preserve">Progress is blocked until at least one document is provided</t>
  </si>
  <si>
    <t xml:space="preserve">DEF-04</t>
  </si>
  <si>
    <t xml:space="preserve">Screenshot of review reached with no documents</t>
  </si>
  <si>
    <t xml:space="preserve">tests/oe/documents.spec.js</t>
  </si>
  <si>
    <t xml:space="preserve">OE-13</t>
  </si>
  <si>
    <t xml:space="preserve">A document can be recorded from a simulated file name</t>
  </si>
  <si>
    <t xml:space="preserve">1. Select a document type
2. Enter a simulated file name with no file attached
3. Upload</t>
  </si>
  <si>
    <t xml:space="preserve">The document is recorded in the uploaded documents table</t>
  </si>
  <si>
    <t xml:space="preserve">Screenshot of documents table</t>
  </si>
  <si>
    <t xml:space="preserve">OE-14</t>
  </si>
  <si>
    <t xml:space="preserve">Allocation below 100% must block submission</t>
  </si>
  <si>
    <t xml:space="preserve">1. Confirm primary allocation is below 100%
2. Run validation at review
3. Read the errors</t>
  </si>
  <si>
    <t xml:space="preserve">Validation raises an allocation error</t>
  </si>
  <si>
    <t xml:space="preserve">Screenshot of validation passed</t>
  </si>
  <si>
    <t xml:space="preserve">tests/oe/defects.spec.js</t>
  </si>
  <si>
    <t xml:space="preserve">OE-15</t>
  </si>
  <si>
    <t xml:space="preserve">Submit is disabled while allocation is incomplete</t>
  </si>
  <si>
    <t xml:space="preserve">1. Confirm allocation is below 100%
2. Run validation
3. Inspect the Submit button</t>
  </si>
  <si>
    <t xml:space="preserve">Submit remains disabled while the benefit split is incomplete</t>
  </si>
  <si>
    <t xml:space="preserve">Screenshot of submitted application WL2026090364621</t>
  </si>
  <si>
    <t xml:space="preserve">OE-16</t>
  </si>
  <si>
    <t xml:space="preserve">Client Information</t>
  </si>
  <si>
    <t xml:space="preserve">Calculated age matches the date of birth entered</t>
  </si>
  <si>
    <t xml:space="preserve">Calculation</t>
  </si>
  <si>
    <t xml:space="preserve">1. Read the date of birth from the client step
2. Compute the age as of today
3. Compare against the review snapshot</t>
  </si>
  <si>
    <t xml:space="preserve">Calculated age equals the age derived from the date of birth</t>
  </si>
  <si>
    <t xml:space="preserve">DEF-06</t>
  </si>
  <si>
    <t xml:space="preserve">Screenshot of date of birth and snapshot</t>
  </si>
  <si>
    <t xml:space="preserve">OE-17</t>
  </si>
  <si>
    <t xml:space="preserve">Product</t>
  </si>
  <si>
    <t xml:space="preserve">Premium matches the published rate</t>
  </si>
  <si>
    <t xml:space="preserve">1. Configure Elite Legacy Whole Life at 1,000,000 monthly
2. Read the estimated premium
3. Compare against sum assured divided by 1000, times the rate, divided by 12</t>
  </si>
  <si>
    <t xml:space="preserve">Displayed premium equals the computed figure</t>
  </si>
  <si>
    <t xml:space="preserve">tests/oe/product.spec.js</t>
  </si>
  <si>
    <t xml:space="preserve">OE-18</t>
  </si>
  <si>
    <t xml:space="preserve">Sum assured below the allowed minimum is refused</t>
  </si>
  <si>
    <t xml:space="preserve">1. Read the allowed range shown on the product step
2. Enter a value well below the minimum
3. Save and Continue</t>
  </si>
  <si>
    <t xml:space="preserve">Refused with a range message and no premium calculated</t>
  </si>
  <si>
    <t xml:space="preserve">Execution summary</t>
  </si>
  <si>
    <t xml:space="preserve">Total test cases designed</t>
  </si>
  <si>
    <t xml:space="preserve">Passed</t>
  </si>
  <si>
    <t xml:space="preserve">Failed on a confirmed defect</t>
  </si>
  <si>
    <t xml:space="preserve">Skipped, precondition not met</t>
  </si>
  <si>
    <t xml:space="preserve">FinServe Retail</t>
  </si>
  <si>
    <t xml:space="preserve">Insurance Order Entry</t>
  </si>
  <si>
    <t xml:space="preserve">The suite runs on Chromium with a smoke subset repeated on Firefox. Counts above are of designed test cases; the Playwright run reports a higher total because tagged tests execute on both browsers and a setup project runs first.
Failed cases are left failing deliberately. Each traces to a confirmed application defect in the defect log, not to a fault in the automation.
Skipped cases guard on a precondition and step aside when the shared test data does not meet it. They exercise valid scenarios and pass against a suitable application.</t>
  </si>
  <si>
    <t xml:space="preserve">Summary</t>
  </si>
  <si>
    <t xml:space="preserve">Severity</t>
  </si>
  <si>
    <t xml:space="preserve">Covering test cases</t>
  </si>
  <si>
    <t xml:space="preserve">Portfolio API reports a total 999.00 higher than the sum of its own holdings</t>
  </si>
  <si>
    <t xml:space="preserve">Failed payment transaction displayed as SUCCESS on the transactions screen</t>
  </si>
  <si>
    <t xml:space="preserve">Insurance eligible age range is published but not enforced at purchase</t>
  </si>
  <si>
    <t xml:space="preserve">FS-25, FS-26</t>
  </si>
  <si>
    <t xml:space="preserve">Wizard Continue controls are navigation links, so steps can be bypassed</t>
  </si>
  <si>
    <t xml:space="preserve">Beneficiary allocation below 100% is never validated and can be submitted</t>
  </si>
  <si>
    <t xml:space="preserve">OE-08, OE-11, OE-14, OE-15</t>
  </si>
  <si>
    <t xml:space="preserve">Calculated age is one year higher than the date of birth implies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</si>
</sst>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10"/>
      <color rgb="FF8A8073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2"/>
      <color rgb="FF1A1A1A"/>
      <name val="Calibri"/>
      <family val="0"/>
      <charset val="1"/>
    </font>
    <font>
      <i val="true"/>
      <sz val="9"/>
      <color rgb="FF8A807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F6C"/>
        <bgColor rgb="FF333399"/>
      </patternFill>
    </fill>
    <fill>
      <patternFill patternType="solid">
        <fgColor rgb="FFEFF5F9"/>
        <bgColor rgb="FFFFFFFF"/>
      </patternFill>
    </fill>
    <fill>
      <patternFill patternType="solid">
        <fgColor rgb="FFFFF3D6"/>
        <bgColor rgb="FFEF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1A1A"/>
      </bottom>
      <diagonal/>
    </border>
    <border diagonalUp="false" diagonalDown="false">
      <left/>
      <right/>
      <top/>
      <bottom style="thin">
        <color rgb="FFD6CF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2F6C"/>
          <bgColor rgb="FF000000"/>
        </patternFill>
      </fill>
    </dxf>
    <dxf>
      <fill>
        <patternFill patternType="solid">
          <fgColor rgb="FFEFF5F9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8073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6CFC5"/>
      <rgbColor rgb="FF8A8073"/>
      <rgbColor rgb="FF9999FF"/>
      <rgbColor rgb="FF993366"/>
      <rgbColor rgb="FFFFF3D6"/>
      <rgbColor rgb="FFEF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F6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50"/>
    <col collapsed="false" customWidth="true" hidden="false" outlineLevel="0" max="8" min="8" style="0" width="52"/>
    <col collapsed="false" customWidth="true" hidden="false" outlineLevel="0" max="10" min="9" style="0" width="10"/>
    <col collapsed="false" customWidth="true" hidden="false" outlineLevel="0" max="11" min="11" style="0" width="42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57.75" hidden="false" customHeight="tru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/>
      <c r="K2" s="3" t="s">
        <v>21</v>
      </c>
      <c r="L2" s="3" t="s">
        <v>22</v>
      </c>
    </row>
    <row r="3" customFormat="false" ht="57.75" hidden="false" customHeight="true" outlineLevel="0" collapsed="false">
      <c r="A3" s="4" t="s">
        <v>23</v>
      </c>
      <c r="B3" s="5" t="s">
        <v>13</v>
      </c>
      <c r="C3" s="5" t="s">
        <v>14</v>
      </c>
      <c r="D3" s="5" t="s">
        <v>24</v>
      </c>
      <c r="E3" s="5" t="s">
        <v>25</v>
      </c>
      <c r="F3" s="5" t="s">
        <v>17</v>
      </c>
      <c r="G3" s="5" t="s">
        <v>26</v>
      </c>
      <c r="H3" s="5" t="s">
        <v>27</v>
      </c>
      <c r="I3" s="5" t="s">
        <v>20</v>
      </c>
      <c r="J3" s="5"/>
      <c r="K3" s="5" t="s">
        <v>28</v>
      </c>
      <c r="L3" s="5" t="s">
        <v>22</v>
      </c>
    </row>
    <row r="4" customFormat="false" ht="57.75" hidden="false" customHeight="true" outlineLevel="0" collapsed="false">
      <c r="A4" s="2" t="s">
        <v>29</v>
      </c>
      <c r="B4" s="3" t="s">
        <v>13</v>
      </c>
      <c r="C4" s="3" t="s">
        <v>14</v>
      </c>
      <c r="D4" s="3" t="s">
        <v>30</v>
      </c>
      <c r="E4" s="3" t="s">
        <v>25</v>
      </c>
      <c r="F4" s="3" t="s">
        <v>17</v>
      </c>
      <c r="G4" s="3" t="s">
        <v>31</v>
      </c>
      <c r="H4" s="3" t="s">
        <v>32</v>
      </c>
      <c r="I4" s="3" t="s">
        <v>20</v>
      </c>
      <c r="J4" s="3"/>
      <c r="K4" s="3" t="s">
        <v>33</v>
      </c>
      <c r="L4" s="3" t="s">
        <v>22</v>
      </c>
    </row>
    <row r="5" customFormat="false" ht="57.75" hidden="false" customHeight="true" outlineLevel="0" collapsed="false">
      <c r="A5" s="4" t="s">
        <v>34</v>
      </c>
      <c r="B5" s="5" t="s">
        <v>13</v>
      </c>
      <c r="C5" s="5" t="s">
        <v>14</v>
      </c>
      <c r="D5" s="5" t="s">
        <v>35</v>
      </c>
      <c r="E5" s="5" t="s">
        <v>25</v>
      </c>
      <c r="F5" s="5" t="s">
        <v>36</v>
      </c>
      <c r="G5" s="5" t="s">
        <v>37</v>
      </c>
      <c r="H5" s="5" t="s">
        <v>38</v>
      </c>
      <c r="I5" s="5" t="s">
        <v>20</v>
      </c>
      <c r="J5" s="5"/>
      <c r="K5" s="5" t="s">
        <v>21</v>
      </c>
      <c r="L5" s="5" t="s">
        <v>22</v>
      </c>
    </row>
    <row r="6" customFormat="false" ht="57.75" hidden="false" customHeight="true" outlineLevel="0" collapsed="false">
      <c r="A6" s="2" t="s">
        <v>39</v>
      </c>
      <c r="B6" s="3" t="s">
        <v>13</v>
      </c>
      <c r="C6" s="3" t="s">
        <v>40</v>
      </c>
      <c r="D6" s="3" t="s">
        <v>41</v>
      </c>
      <c r="E6" s="3" t="s">
        <v>16</v>
      </c>
      <c r="F6" s="3" t="s">
        <v>17</v>
      </c>
      <c r="G6" s="3" t="s">
        <v>42</v>
      </c>
      <c r="H6" s="3" t="s">
        <v>43</v>
      </c>
      <c r="I6" s="3" t="s">
        <v>20</v>
      </c>
      <c r="J6" s="3"/>
      <c r="K6" s="3" t="s">
        <v>44</v>
      </c>
      <c r="L6" s="3" t="s">
        <v>45</v>
      </c>
    </row>
    <row r="7" customFormat="false" ht="57.75" hidden="false" customHeight="true" outlineLevel="0" collapsed="false">
      <c r="A7" s="4" t="s">
        <v>46</v>
      </c>
      <c r="B7" s="5" t="s">
        <v>13</v>
      </c>
      <c r="C7" s="5" t="s">
        <v>40</v>
      </c>
      <c r="D7" s="5" t="s">
        <v>47</v>
      </c>
      <c r="E7" s="5" t="s">
        <v>16</v>
      </c>
      <c r="F7" s="5" t="s">
        <v>36</v>
      </c>
      <c r="G7" s="5" t="s">
        <v>48</v>
      </c>
      <c r="H7" s="5" t="s">
        <v>49</v>
      </c>
      <c r="I7" s="5" t="s">
        <v>20</v>
      </c>
      <c r="J7" s="5"/>
      <c r="K7" s="5" t="s">
        <v>50</v>
      </c>
      <c r="L7" s="5" t="s">
        <v>45</v>
      </c>
    </row>
    <row r="8" customFormat="false" ht="57.75" hidden="false" customHeight="true" outlineLevel="0" collapsed="false">
      <c r="A8" s="2" t="s">
        <v>51</v>
      </c>
      <c r="B8" s="3" t="s">
        <v>13</v>
      </c>
      <c r="C8" s="3" t="s">
        <v>52</v>
      </c>
      <c r="D8" s="3" t="s">
        <v>53</v>
      </c>
      <c r="E8" s="3" t="s">
        <v>54</v>
      </c>
      <c r="F8" s="3" t="s">
        <v>17</v>
      </c>
      <c r="G8" s="3" t="s">
        <v>55</v>
      </c>
      <c r="H8" s="3" t="s">
        <v>56</v>
      </c>
      <c r="I8" s="3" t="s">
        <v>20</v>
      </c>
      <c r="J8" s="3"/>
      <c r="K8" s="3" t="s">
        <v>57</v>
      </c>
      <c r="L8" s="3" t="s">
        <v>45</v>
      </c>
    </row>
    <row r="9" customFormat="false" ht="57.75" hidden="false" customHeight="true" outlineLevel="0" collapsed="false">
      <c r="A9" s="4" t="s">
        <v>58</v>
      </c>
      <c r="B9" s="5" t="s">
        <v>13</v>
      </c>
      <c r="C9" s="5" t="s">
        <v>52</v>
      </c>
      <c r="D9" s="5" t="s">
        <v>59</v>
      </c>
      <c r="E9" s="5" t="s">
        <v>16</v>
      </c>
      <c r="F9" s="5" t="s">
        <v>17</v>
      </c>
      <c r="G9" s="5" t="s">
        <v>60</v>
      </c>
      <c r="H9" s="5" t="s">
        <v>61</v>
      </c>
      <c r="I9" s="5" t="s">
        <v>20</v>
      </c>
      <c r="J9" s="5"/>
      <c r="K9" s="5" t="s">
        <v>62</v>
      </c>
      <c r="L9" s="5" t="s">
        <v>45</v>
      </c>
    </row>
    <row r="10" customFormat="false" ht="57.75" hidden="false" customHeight="true" outlineLevel="0" collapsed="false">
      <c r="A10" s="2" t="s">
        <v>63</v>
      </c>
      <c r="B10" s="3" t="s">
        <v>13</v>
      </c>
      <c r="C10" s="3" t="s">
        <v>64</v>
      </c>
      <c r="D10" s="3" t="s">
        <v>65</v>
      </c>
      <c r="E10" s="3" t="s">
        <v>66</v>
      </c>
      <c r="F10" s="3" t="s">
        <v>17</v>
      </c>
      <c r="G10" s="3" t="s">
        <v>67</v>
      </c>
      <c r="H10" s="3" t="s">
        <v>68</v>
      </c>
      <c r="I10" s="3" t="s">
        <v>20</v>
      </c>
      <c r="J10" s="3"/>
      <c r="K10" s="3" t="s">
        <v>69</v>
      </c>
      <c r="L10" s="3" t="s">
        <v>70</v>
      </c>
    </row>
    <row r="11" customFormat="false" ht="57.75" hidden="false" customHeight="true" outlineLevel="0" collapsed="false">
      <c r="A11" s="4" t="s">
        <v>71</v>
      </c>
      <c r="B11" s="5" t="s">
        <v>13</v>
      </c>
      <c r="C11" s="5" t="s">
        <v>64</v>
      </c>
      <c r="D11" s="5" t="s">
        <v>72</v>
      </c>
      <c r="E11" s="5" t="s">
        <v>66</v>
      </c>
      <c r="F11" s="5" t="s">
        <v>36</v>
      </c>
      <c r="G11" s="5" t="s">
        <v>73</v>
      </c>
      <c r="H11" s="5" t="s">
        <v>74</v>
      </c>
      <c r="I11" s="5" t="s">
        <v>20</v>
      </c>
      <c r="J11" s="5"/>
      <c r="K11" s="5" t="s">
        <v>75</v>
      </c>
      <c r="L11" s="5" t="s">
        <v>70</v>
      </c>
    </row>
    <row r="12" customFormat="false" ht="57.75" hidden="false" customHeight="true" outlineLevel="0" collapsed="false">
      <c r="A12" s="2" t="s">
        <v>76</v>
      </c>
      <c r="B12" s="3" t="s">
        <v>13</v>
      </c>
      <c r="C12" s="3" t="s">
        <v>77</v>
      </c>
      <c r="D12" s="3" t="s">
        <v>78</v>
      </c>
      <c r="E12" s="3" t="s">
        <v>66</v>
      </c>
      <c r="F12" s="3" t="s">
        <v>17</v>
      </c>
      <c r="G12" s="3" t="s">
        <v>79</v>
      </c>
      <c r="H12" s="3" t="s">
        <v>80</v>
      </c>
      <c r="I12" s="3" t="s">
        <v>20</v>
      </c>
      <c r="J12" s="3"/>
      <c r="K12" s="3" t="s">
        <v>81</v>
      </c>
      <c r="L12" s="3" t="s">
        <v>82</v>
      </c>
    </row>
    <row r="13" customFormat="false" ht="57.75" hidden="false" customHeight="true" outlineLevel="0" collapsed="false">
      <c r="A13" s="4" t="s">
        <v>83</v>
      </c>
      <c r="B13" s="5" t="s">
        <v>13</v>
      </c>
      <c r="C13" s="5" t="s">
        <v>84</v>
      </c>
      <c r="D13" s="5" t="s">
        <v>85</v>
      </c>
      <c r="E13" s="5" t="s">
        <v>66</v>
      </c>
      <c r="F13" s="5" t="s">
        <v>17</v>
      </c>
      <c r="G13" s="5" t="s">
        <v>86</v>
      </c>
      <c r="H13" s="5" t="s">
        <v>87</v>
      </c>
      <c r="I13" s="5" t="s">
        <v>20</v>
      </c>
      <c r="J13" s="5" t="s">
        <v>88</v>
      </c>
      <c r="K13" s="5" t="s">
        <v>89</v>
      </c>
      <c r="L13" s="5" t="s">
        <v>82</v>
      </c>
    </row>
    <row r="14" customFormat="false" ht="57.75" hidden="false" customHeight="true" outlineLevel="0" collapsed="false">
      <c r="A14" s="2" t="s">
        <v>90</v>
      </c>
      <c r="B14" s="3" t="s">
        <v>13</v>
      </c>
      <c r="C14" s="3" t="s">
        <v>84</v>
      </c>
      <c r="D14" s="3" t="s">
        <v>91</v>
      </c>
      <c r="E14" s="3" t="s">
        <v>16</v>
      </c>
      <c r="F14" s="3" t="s">
        <v>36</v>
      </c>
      <c r="G14" s="3" t="s">
        <v>92</v>
      </c>
      <c r="H14" s="3" t="s">
        <v>93</v>
      </c>
      <c r="I14" s="3" t="s">
        <v>20</v>
      </c>
      <c r="J14" s="3"/>
      <c r="K14" s="3" t="s">
        <v>94</v>
      </c>
      <c r="L14" s="3" t="s">
        <v>82</v>
      </c>
    </row>
    <row r="15" customFormat="false" ht="57.75" hidden="false" customHeight="true" outlineLevel="0" collapsed="false">
      <c r="A15" s="4" t="s">
        <v>95</v>
      </c>
      <c r="B15" s="5" t="s">
        <v>13</v>
      </c>
      <c r="C15" s="5" t="s">
        <v>84</v>
      </c>
      <c r="D15" s="5" t="s">
        <v>96</v>
      </c>
      <c r="E15" s="5" t="s">
        <v>16</v>
      </c>
      <c r="F15" s="5" t="s">
        <v>36</v>
      </c>
      <c r="G15" s="5" t="s">
        <v>97</v>
      </c>
      <c r="H15" s="5" t="s">
        <v>98</v>
      </c>
      <c r="I15" s="5" t="s">
        <v>20</v>
      </c>
      <c r="J15" s="5"/>
      <c r="K15" s="5" t="s">
        <v>99</v>
      </c>
      <c r="L15" s="5" t="s">
        <v>82</v>
      </c>
    </row>
    <row r="16" customFormat="false" ht="57.75" hidden="false" customHeight="true" outlineLevel="0" collapsed="false">
      <c r="A16" s="2" t="s">
        <v>100</v>
      </c>
      <c r="B16" s="3" t="s">
        <v>13</v>
      </c>
      <c r="C16" s="3" t="s">
        <v>101</v>
      </c>
      <c r="D16" s="3" t="s">
        <v>102</v>
      </c>
      <c r="E16" s="3" t="s">
        <v>54</v>
      </c>
      <c r="F16" s="3" t="s">
        <v>17</v>
      </c>
      <c r="G16" s="3" t="s">
        <v>103</v>
      </c>
      <c r="H16" s="3" t="s">
        <v>104</v>
      </c>
      <c r="I16" s="3" t="s">
        <v>20</v>
      </c>
      <c r="J16" s="3"/>
      <c r="K16" s="3" t="s">
        <v>105</v>
      </c>
      <c r="L16" s="3" t="s">
        <v>106</v>
      </c>
    </row>
    <row r="17" customFormat="false" ht="57.75" hidden="false" customHeight="true" outlineLevel="0" collapsed="false">
      <c r="A17" s="4" t="s">
        <v>107</v>
      </c>
      <c r="B17" s="5" t="s">
        <v>13</v>
      </c>
      <c r="C17" s="5" t="s">
        <v>101</v>
      </c>
      <c r="D17" s="5" t="s">
        <v>108</v>
      </c>
      <c r="E17" s="5" t="s">
        <v>54</v>
      </c>
      <c r="F17" s="5" t="s">
        <v>17</v>
      </c>
      <c r="G17" s="5" t="s">
        <v>109</v>
      </c>
      <c r="H17" s="5" t="s">
        <v>110</v>
      </c>
      <c r="I17" s="6" t="s">
        <v>111</v>
      </c>
      <c r="J17" s="5"/>
      <c r="K17" s="5" t="s">
        <v>112</v>
      </c>
      <c r="L17" s="5" t="s">
        <v>106</v>
      </c>
    </row>
    <row r="18" customFormat="false" ht="57.75" hidden="false" customHeight="true" outlineLevel="0" collapsed="false">
      <c r="A18" s="2" t="s">
        <v>113</v>
      </c>
      <c r="B18" s="3" t="s">
        <v>13</v>
      </c>
      <c r="C18" s="3" t="s">
        <v>101</v>
      </c>
      <c r="D18" s="3" t="s">
        <v>114</v>
      </c>
      <c r="E18" s="3" t="s">
        <v>16</v>
      </c>
      <c r="F18" s="3" t="s">
        <v>17</v>
      </c>
      <c r="G18" s="3" t="s">
        <v>115</v>
      </c>
      <c r="H18" s="3" t="s">
        <v>116</v>
      </c>
      <c r="I18" s="3" t="s">
        <v>20</v>
      </c>
      <c r="J18" s="3"/>
      <c r="K18" s="3" t="s">
        <v>117</v>
      </c>
      <c r="L18" s="3" t="s">
        <v>106</v>
      </c>
    </row>
    <row r="19" customFormat="false" ht="57.75" hidden="false" customHeight="true" outlineLevel="0" collapsed="false">
      <c r="A19" s="4" t="s">
        <v>118</v>
      </c>
      <c r="B19" s="5" t="s">
        <v>13</v>
      </c>
      <c r="C19" s="5" t="s">
        <v>119</v>
      </c>
      <c r="D19" s="5" t="s">
        <v>120</v>
      </c>
      <c r="E19" s="5" t="s">
        <v>16</v>
      </c>
      <c r="F19" s="5" t="s">
        <v>36</v>
      </c>
      <c r="G19" s="5" t="s">
        <v>121</v>
      </c>
      <c r="H19" s="5" t="s">
        <v>122</v>
      </c>
      <c r="I19" s="5" t="s">
        <v>20</v>
      </c>
      <c r="J19" s="5"/>
      <c r="K19" s="5" t="s">
        <v>123</v>
      </c>
      <c r="L19" s="5" t="s">
        <v>124</v>
      </c>
    </row>
    <row r="20" customFormat="false" ht="57.75" hidden="false" customHeight="true" outlineLevel="0" collapsed="false">
      <c r="A20" s="2" t="s">
        <v>125</v>
      </c>
      <c r="B20" s="3" t="s">
        <v>13</v>
      </c>
      <c r="C20" s="3" t="s">
        <v>119</v>
      </c>
      <c r="D20" s="3" t="s">
        <v>126</v>
      </c>
      <c r="E20" s="3" t="s">
        <v>16</v>
      </c>
      <c r="F20" s="3" t="s">
        <v>36</v>
      </c>
      <c r="G20" s="3" t="s">
        <v>127</v>
      </c>
      <c r="H20" s="3" t="s">
        <v>128</v>
      </c>
      <c r="I20" s="3" t="s">
        <v>20</v>
      </c>
      <c r="J20" s="3"/>
      <c r="K20" s="3" t="s">
        <v>50</v>
      </c>
      <c r="L20" s="3" t="s">
        <v>124</v>
      </c>
    </row>
    <row r="21" customFormat="false" ht="57.75" hidden="false" customHeight="true" outlineLevel="0" collapsed="false">
      <c r="A21" s="4" t="s">
        <v>129</v>
      </c>
      <c r="B21" s="5" t="s">
        <v>13</v>
      </c>
      <c r="C21" s="5" t="s">
        <v>119</v>
      </c>
      <c r="D21" s="5" t="s">
        <v>130</v>
      </c>
      <c r="E21" s="5" t="s">
        <v>54</v>
      </c>
      <c r="F21" s="5" t="s">
        <v>36</v>
      </c>
      <c r="G21" s="5" t="s">
        <v>131</v>
      </c>
      <c r="H21" s="5" t="s">
        <v>132</v>
      </c>
      <c r="I21" s="5" t="s">
        <v>20</v>
      </c>
      <c r="J21" s="5"/>
      <c r="K21" s="5" t="s">
        <v>133</v>
      </c>
      <c r="L21" s="5" t="s">
        <v>124</v>
      </c>
    </row>
    <row r="22" customFormat="false" ht="57.75" hidden="false" customHeight="true" outlineLevel="0" collapsed="false">
      <c r="A22" s="2" t="s">
        <v>134</v>
      </c>
      <c r="B22" s="3" t="s">
        <v>13</v>
      </c>
      <c r="C22" s="3" t="s">
        <v>119</v>
      </c>
      <c r="D22" s="3" t="s">
        <v>135</v>
      </c>
      <c r="E22" s="3" t="s">
        <v>54</v>
      </c>
      <c r="F22" s="3" t="s">
        <v>17</v>
      </c>
      <c r="G22" s="3" t="s">
        <v>136</v>
      </c>
      <c r="H22" s="3" t="s">
        <v>137</v>
      </c>
      <c r="I22" s="3" t="s">
        <v>20</v>
      </c>
      <c r="J22" s="3"/>
      <c r="K22" s="3" t="s">
        <v>138</v>
      </c>
      <c r="L22" s="3" t="s">
        <v>124</v>
      </c>
    </row>
    <row r="23" customFormat="false" ht="57.75" hidden="false" customHeight="true" outlineLevel="0" collapsed="false">
      <c r="A23" s="4" t="s">
        <v>139</v>
      </c>
      <c r="B23" s="5" t="s">
        <v>13</v>
      </c>
      <c r="C23" s="5" t="s">
        <v>119</v>
      </c>
      <c r="D23" s="5" t="s">
        <v>140</v>
      </c>
      <c r="E23" s="5" t="s">
        <v>25</v>
      </c>
      <c r="F23" s="5" t="s">
        <v>17</v>
      </c>
      <c r="G23" s="5" t="s">
        <v>141</v>
      </c>
      <c r="H23" s="5" t="s">
        <v>142</v>
      </c>
      <c r="I23" s="5" t="s">
        <v>20</v>
      </c>
      <c r="J23" s="5"/>
      <c r="K23" s="5" t="s">
        <v>143</v>
      </c>
      <c r="L23" s="5" t="s">
        <v>124</v>
      </c>
    </row>
    <row r="24" customFormat="false" ht="57.75" hidden="false" customHeight="true" outlineLevel="0" collapsed="false">
      <c r="A24" s="2" t="s">
        <v>144</v>
      </c>
      <c r="B24" s="3" t="s">
        <v>13</v>
      </c>
      <c r="C24" s="3" t="s">
        <v>119</v>
      </c>
      <c r="D24" s="3" t="s">
        <v>145</v>
      </c>
      <c r="E24" s="3" t="s">
        <v>16</v>
      </c>
      <c r="F24" s="3" t="s">
        <v>17</v>
      </c>
      <c r="G24" s="3" t="s">
        <v>146</v>
      </c>
      <c r="H24" s="3" t="s">
        <v>147</v>
      </c>
      <c r="I24" s="3" t="s">
        <v>20</v>
      </c>
      <c r="J24" s="3"/>
      <c r="K24" s="3" t="s">
        <v>148</v>
      </c>
      <c r="L24" s="3" t="s">
        <v>124</v>
      </c>
    </row>
    <row r="25" customFormat="false" ht="57.75" hidden="false" customHeight="true" outlineLevel="0" collapsed="false">
      <c r="A25" s="7" t="s">
        <v>149</v>
      </c>
      <c r="B25" s="8" t="s">
        <v>13</v>
      </c>
      <c r="C25" s="8" t="s">
        <v>119</v>
      </c>
      <c r="D25" s="8" t="s">
        <v>150</v>
      </c>
      <c r="E25" s="8" t="s">
        <v>54</v>
      </c>
      <c r="F25" s="8" t="s">
        <v>17</v>
      </c>
      <c r="G25" s="8" t="s">
        <v>151</v>
      </c>
      <c r="H25" s="8" t="s">
        <v>152</v>
      </c>
      <c r="I25" s="9" t="s">
        <v>153</v>
      </c>
      <c r="J25" s="9" t="s">
        <v>154</v>
      </c>
      <c r="K25" s="8" t="s">
        <v>155</v>
      </c>
      <c r="L25" s="8" t="s">
        <v>124</v>
      </c>
    </row>
    <row r="26" customFormat="false" ht="57.75" hidden="false" customHeight="true" outlineLevel="0" collapsed="false">
      <c r="A26" s="7" t="s">
        <v>156</v>
      </c>
      <c r="B26" s="8" t="s">
        <v>13</v>
      </c>
      <c r="C26" s="8" t="s">
        <v>119</v>
      </c>
      <c r="D26" s="8" t="s">
        <v>157</v>
      </c>
      <c r="E26" s="8" t="s">
        <v>54</v>
      </c>
      <c r="F26" s="8" t="s">
        <v>17</v>
      </c>
      <c r="G26" s="8" t="s">
        <v>158</v>
      </c>
      <c r="H26" s="8" t="s">
        <v>159</v>
      </c>
      <c r="I26" s="9" t="s">
        <v>153</v>
      </c>
      <c r="J26" s="9" t="s">
        <v>154</v>
      </c>
      <c r="K26" s="8" t="s">
        <v>160</v>
      </c>
      <c r="L26" s="8" t="s">
        <v>124</v>
      </c>
    </row>
    <row r="27" customFormat="false" ht="57.75" hidden="false" customHeight="true" outlineLevel="0" collapsed="false">
      <c r="A27" s="4" t="s">
        <v>161</v>
      </c>
      <c r="B27" s="5" t="s">
        <v>13</v>
      </c>
      <c r="C27" s="5" t="s">
        <v>162</v>
      </c>
      <c r="D27" s="5" t="s">
        <v>163</v>
      </c>
      <c r="E27" s="5" t="s">
        <v>25</v>
      </c>
      <c r="F27" s="5" t="s">
        <v>17</v>
      </c>
      <c r="G27" s="5" t="s">
        <v>164</v>
      </c>
      <c r="H27" s="5" t="s">
        <v>165</v>
      </c>
      <c r="I27" s="5" t="s">
        <v>20</v>
      </c>
      <c r="J27" s="5"/>
      <c r="K27" s="5" t="s">
        <v>166</v>
      </c>
      <c r="L27" s="5" t="s">
        <v>167</v>
      </c>
    </row>
    <row r="28" customFormat="false" ht="57.75" hidden="false" customHeight="true" outlineLevel="0" collapsed="false">
      <c r="A28" s="2" t="s">
        <v>168</v>
      </c>
      <c r="B28" s="3" t="s">
        <v>13</v>
      </c>
      <c r="C28" s="3" t="s">
        <v>162</v>
      </c>
      <c r="D28" s="3" t="s">
        <v>169</v>
      </c>
      <c r="E28" s="3" t="s">
        <v>16</v>
      </c>
      <c r="F28" s="3" t="s">
        <v>36</v>
      </c>
      <c r="G28" s="3" t="s">
        <v>170</v>
      </c>
      <c r="H28" s="3" t="s">
        <v>171</v>
      </c>
      <c r="I28" s="3" t="s">
        <v>20</v>
      </c>
      <c r="J28" s="3"/>
      <c r="K28" s="3" t="s">
        <v>172</v>
      </c>
      <c r="L28" s="3" t="s">
        <v>167</v>
      </c>
    </row>
    <row r="29" customFormat="false" ht="57.75" hidden="false" customHeight="true" outlineLevel="0" collapsed="false">
      <c r="A29" s="4" t="s">
        <v>173</v>
      </c>
      <c r="B29" s="5" t="s">
        <v>13</v>
      </c>
      <c r="C29" s="5" t="s">
        <v>174</v>
      </c>
      <c r="D29" s="5" t="s">
        <v>175</v>
      </c>
      <c r="E29" s="5" t="s">
        <v>25</v>
      </c>
      <c r="F29" s="5" t="s">
        <v>17</v>
      </c>
      <c r="G29" s="5" t="s">
        <v>176</v>
      </c>
      <c r="H29" s="5" t="s">
        <v>177</v>
      </c>
      <c r="I29" s="5" t="s">
        <v>20</v>
      </c>
      <c r="J29" s="5"/>
      <c r="K29" s="5" t="s">
        <v>178</v>
      </c>
      <c r="L29" s="5" t="s">
        <v>179</v>
      </c>
    </row>
    <row r="30" customFormat="false" ht="57.75" hidden="false" customHeight="true" outlineLevel="0" collapsed="false">
      <c r="A30" s="2" t="s">
        <v>180</v>
      </c>
      <c r="B30" s="3" t="s">
        <v>13</v>
      </c>
      <c r="C30" s="3" t="s">
        <v>174</v>
      </c>
      <c r="D30" s="3" t="s">
        <v>181</v>
      </c>
      <c r="E30" s="3" t="s">
        <v>25</v>
      </c>
      <c r="F30" s="3" t="s">
        <v>17</v>
      </c>
      <c r="G30" s="3" t="s">
        <v>182</v>
      </c>
      <c r="H30" s="3" t="s">
        <v>183</v>
      </c>
      <c r="I30" s="3" t="s">
        <v>20</v>
      </c>
      <c r="J30" s="3"/>
      <c r="K30" s="3" t="s">
        <v>178</v>
      </c>
      <c r="L30" s="3" t="s">
        <v>179</v>
      </c>
    </row>
    <row r="31" customFormat="false" ht="57.75" hidden="false" customHeight="true" outlineLevel="0" collapsed="false">
      <c r="A31" s="4" t="s">
        <v>184</v>
      </c>
      <c r="B31" s="5" t="s">
        <v>13</v>
      </c>
      <c r="C31" s="5" t="s">
        <v>174</v>
      </c>
      <c r="D31" s="5" t="s">
        <v>185</v>
      </c>
      <c r="E31" s="5" t="s">
        <v>16</v>
      </c>
      <c r="F31" s="5" t="s">
        <v>17</v>
      </c>
      <c r="G31" s="5" t="s">
        <v>186</v>
      </c>
      <c r="H31" s="5" t="s">
        <v>187</v>
      </c>
      <c r="I31" s="5" t="s">
        <v>20</v>
      </c>
      <c r="J31" s="5"/>
      <c r="K31" s="5" t="s">
        <v>188</v>
      </c>
      <c r="L31" s="5" t="s">
        <v>179</v>
      </c>
    </row>
    <row r="32" customFormat="false" ht="57.75" hidden="false" customHeight="true" outlineLevel="0" collapsed="false">
      <c r="A32" s="2" t="s">
        <v>189</v>
      </c>
      <c r="B32" s="3" t="s">
        <v>13</v>
      </c>
      <c r="C32" s="3" t="s">
        <v>174</v>
      </c>
      <c r="D32" s="3" t="s">
        <v>190</v>
      </c>
      <c r="E32" s="3" t="s">
        <v>16</v>
      </c>
      <c r="F32" s="3" t="s">
        <v>17</v>
      </c>
      <c r="G32" s="3" t="s">
        <v>191</v>
      </c>
      <c r="H32" s="3" t="s">
        <v>192</v>
      </c>
      <c r="I32" s="3" t="s">
        <v>20</v>
      </c>
      <c r="J32" s="3"/>
      <c r="K32" s="3" t="s">
        <v>188</v>
      </c>
      <c r="L32" s="3" t="s">
        <v>179</v>
      </c>
    </row>
    <row r="33" customFormat="false" ht="57.75" hidden="false" customHeight="true" outlineLevel="0" collapsed="false">
      <c r="A33" s="7" t="s">
        <v>193</v>
      </c>
      <c r="B33" s="8" t="s">
        <v>13</v>
      </c>
      <c r="C33" s="8" t="s">
        <v>174</v>
      </c>
      <c r="D33" s="8" t="s">
        <v>78</v>
      </c>
      <c r="E33" s="8" t="s">
        <v>66</v>
      </c>
      <c r="F33" s="8" t="s">
        <v>17</v>
      </c>
      <c r="G33" s="8" t="s">
        <v>194</v>
      </c>
      <c r="H33" s="8" t="s">
        <v>195</v>
      </c>
      <c r="I33" s="9" t="s">
        <v>153</v>
      </c>
      <c r="J33" s="9" t="s">
        <v>196</v>
      </c>
      <c r="K33" s="8" t="s">
        <v>197</v>
      </c>
      <c r="L33" s="8" t="s">
        <v>179</v>
      </c>
    </row>
    <row r="34" customFormat="false" ht="57.75" hidden="false" customHeight="true" outlineLevel="0" collapsed="false">
      <c r="A34" s="2" t="s">
        <v>198</v>
      </c>
      <c r="B34" s="3" t="s">
        <v>13</v>
      </c>
      <c r="C34" s="3" t="s">
        <v>174</v>
      </c>
      <c r="D34" s="3" t="s">
        <v>199</v>
      </c>
      <c r="E34" s="3" t="s">
        <v>66</v>
      </c>
      <c r="F34" s="3" t="s">
        <v>36</v>
      </c>
      <c r="G34" s="3" t="s">
        <v>200</v>
      </c>
      <c r="H34" s="3" t="s">
        <v>201</v>
      </c>
      <c r="I34" s="3" t="s">
        <v>20</v>
      </c>
      <c r="J34" s="3"/>
      <c r="K34" s="3" t="s">
        <v>188</v>
      </c>
      <c r="L34" s="3" t="s">
        <v>179</v>
      </c>
    </row>
    <row r="35" customFormat="false" ht="57.75" hidden="false" customHeight="true" outlineLevel="0" collapsed="false">
      <c r="A35" s="4" t="s">
        <v>202</v>
      </c>
      <c r="B35" s="5" t="s">
        <v>203</v>
      </c>
      <c r="C35" s="5" t="s">
        <v>14</v>
      </c>
      <c r="D35" s="5" t="s">
        <v>204</v>
      </c>
      <c r="E35" s="5" t="s">
        <v>16</v>
      </c>
      <c r="F35" s="5" t="s">
        <v>17</v>
      </c>
      <c r="G35" s="5" t="s">
        <v>205</v>
      </c>
      <c r="H35" s="5" t="s">
        <v>206</v>
      </c>
      <c r="I35" s="5" t="s">
        <v>20</v>
      </c>
      <c r="J35" s="5"/>
      <c r="K35" s="5" t="s">
        <v>21</v>
      </c>
      <c r="L35" s="5" t="s">
        <v>207</v>
      </c>
    </row>
    <row r="36" customFormat="false" ht="57.75" hidden="false" customHeight="true" outlineLevel="0" collapsed="false">
      <c r="A36" s="2" t="s">
        <v>208</v>
      </c>
      <c r="B36" s="3" t="s">
        <v>203</v>
      </c>
      <c r="C36" s="3" t="s">
        <v>14</v>
      </c>
      <c r="D36" s="3" t="s">
        <v>209</v>
      </c>
      <c r="E36" s="3" t="s">
        <v>16</v>
      </c>
      <c r="F36" s="3" t="s">
        <v>210</v>
      </c>
      <c r="G36" s="3" t="s">
        <v>211</v>
      </c>
      <c r="H36" s="3" t="s">
        <v>212</v>
      </c>
      <c r="I36" s="3" t="s">
        <v>20</v>
      </c>
      <c r="J36" s="3"/>
      <c r="K36" s="3" t="s">
        <v>213</v>
      </c>
      <c r="L36" s="3" t="s">
        <v>207</v>
      </c>
    </row>
    <row r="37" customFormat="false" ht="57.75" hidden="false" customHeight="true" outlineLevel="0" collapsed="false">
      <c r="A37" s="4" t="s">
        <v>214</v>
      </c>
      <c r="B37" s="5" t="s">
        <v>203</v>
      </c>
      <c r="C37" s="5" t="s">
        <v>64</v>
      </c>
      <c r="D37" s="5" t="s">
        <v>215</v>
      </c>
      <c r="E37" s="5" t="s">
        <v>16</v>
      </c>
      <c r="F37" s="5" t="s">
        <v>36</v>
      </c>
      <c r="G37" s="5" t="s">
        <v>216</v>
      </c>
      <c r="H37" s="5" t="s">
        <v>217</v>
      </c>
      <c r="I37" s="5" t="s">
        <v>20</v>
      </c>
      <c r="J37" s="5"/>
      <c r="K37" s="5" t="s">
        <v>218</v>
      </c>
      <c r="L37" s="5" t="s">
        <v>219</v>
      </c>
    </row>
    <row r="38" customFormat="false" ht="57.75" hidden="false" customHeight="true" outlineLevel="0" collapsed="false">
      <c r="A38" s="2" t="s">
        <v>220</v>
      </c>
      <c r="B38" s="3" t="s">
        <v>203</v>
      </c>
      <c r="C38" s="3" t="s">
        <v>64</v>
      </c>
      <c r="D38" s="3" t="s">
        <v>221</v>
      </c>
      <c r="E38" s="3" t="s">
        <v>66</v>
      </c>
      <c r="F38" s="3" t="s">
        <v>36</v>
      </c>
      <c r="G38" s="3" t="s">
        <v>222</v>
      </c>
      <c r="H38" s="3" t="s">
        <v>223</v>
      </c>
      <c r="I38" s="3" t="s">
        <v>20</v>
      </c>
      <c r="J38" s="3"/>
      <c r="K38" s="3" t="s">
        <v>224</v>
      </c>
      <c r="L38" s="3" t="s">
        <v>219</v>
      </c>
    </row>
    <row r="39" customFormat="false" ht="57.75" hidden="false" customHeight="true" outlineLevel="0" collapsed="false">
      <c r="A39" s="4" t="s">
        <v>225</v>
      </c>
      <c r="B39" s="5" t="s">
        <v>203</v>
      </c>
      <c r="C39" s="5" t="s">
        <v>226</v>
      </c>
      <c r="D39" s="5" t="s">
        <v>227</v>
      </c>
      <c r="E39" s="5" t="s">
        <v>16</v>
      </c>
      <c r="F39" s="5" t="s">
        <v>36</v>
      </c>
      <c r="G39" s="5" t="s">
        <v>228</v>
      </c>
      <c r="H39" s="5" t="s">
        <v>229</v>
      </c>
      <c r="I39" s="5" t="s">
        <v>20</v>
      </c>
      <c r="J39" s="5"/>
      <c r="K39" s="5" t="s">
        <v>230</v>
      </c>
      <c r="L39" s="5" t="s">
        <v>231</v>
      </c>
    </row>
    <row r="40" customFormat="false" ht="57.75" hidden="false" customHeight="true" outlineLevel="0" collapsed="false">
      <c r="A40" s="2" t="s">
        <v>232</v>
      </c>
      <c r="B40" s="3" t="s">
        <v>203</v>
      </c>
      <c r="C40" s="3" t="s">
        <v>226</v>
      </c>
      <c r="D40" s="3" t="s">
        <v>233</v>
      </c>
      <c r="E40" s="3" t="s">
        <v>25</v>
      </c>
      <c r="F40" s="3" t="s">
        <v>36</v>
      </c>
      <c r="G40" s="3" t="s">
        <v>234</v>
      </c>
      <c r="H40" s="3" t="s">
        <v>235</v>
      </c>
      <c r="I40" s="3" t="s">
        <v>20</v>
      </c>
      <c r="J40" s="3"/>
      <c r="K40" s="3" t="s">
        <v>143</v>
      </c>
      <c r="L40" s="3" t="s">
        <v>231</v>
      </c>
    </row>
    <row r="41" customFormat="false" ht="57.75" hidden="false" customHeight="true" outlineLevel="0" collapsed="false">
      <c r="A41" s="7" t="s">
        <v>236</v>
      </c>
      <c r="B41" s="8" t="s">
        <v>203</v>
      </c>
      <c r="C41" s="8" t="s">
        <v>226</v>
      </c>
      <c r="D41" s="8" t="s">
        <v>237</v>
      </c>
      <c r="E41" s="8" t="s">
        <v>54</v>
      </c>
      <c r="F41" s="8" t="s">
        <v>17</v>
      </c>
      <c r="G41" s="8" t="s">
        <v>238</v>
      </c>
      <c r="H41" s="8" t="s">
        <v>239</v>
      </c>
      <c r="I41" s="9" t="s">
        <v>153</v>
      </c>
      <c r="J41" s="9" t="s">
        <v>240</v>
      </c>
      <c r="K41" s="8" t="s">
        <v>241</v>
      </c>
      <c r="L41" s="8" t="s">
        <v>231</v>
      </c>
    </row>
    <row r="42" customFormat="false" ht="57.75" hidden="false" customHeight="true" outlineLevel="0" collapsed="false">
      <c r="A42" s="2" t="s">
        <v>242</v>
      </c>
      <c r="B42" s="3" t="s">
        <v>203</v>
      </c>
      <c r="C42" s="3" t="s">
        <v>243</v>
      </c>
      <c r="D42" s="3" t="s">
        <v>244</v>
      </c>
      <c r="E42" s="3" t="s">
        <v>25</v>
      </c>
      <c r="F42" s="3" t="s">
        <v>17</v>
      </c>
      <c r="G42" s="3" t="s">
        <v>245</v>
      </c>
      <c r="H42" s="3" t="s">
        <v>246</v>
      </c>
      <c r="I42" s="3" t="s">
        <v>20</v>
      </c>
      <c r="J42" s="3"/>
      <c r="K42" s="3" t="s">
        <v>247</v>
      </c>
      <c r="L42" s="3" t="s">
        <v>248</v>
      </c>
    </row>
    <row r="43" customFormat="false" ht="57.75" hidden="false" customHeight="true" outlineLevel="0" collapsed="false">
      <c r="A43" s="7" t="s">
        <v>249</v>
      </c>
      <c r="B43" s="8" t="s">
        <v>203</v>
      </c>
      <c r="C43" s="8" t="s">
        <v>243</v>
      </c>
      <c r="D43" s="8" t="s">
        <v>250</v>
      </c>
      <c r="E43" s="8" t="s">
        <v>54</v>
      </c>
      <c r="F43" s="8" t="s">
        <v>17</v>
      </c>
      <c r="G43" s="8" t="s">
        <v>251</v>
      </c>
      <c r="H43" s="8" t="s">
        <v>252</v>
      </c>
      <c r="I43" s="9" t="s">
        <v>153</v>
      </c>
      <c r="J43" s="9" t="s">
        <v>240</v>
      </c>
      <c r="K43" s="8" t="s">
        <v>253</v>
      </c>
      <c r="L43" s="8" t="s">
        <v>248</v>
      </c>
    </row>
    <row r="44" customFormat="false" ht="57.75" hidden="false" customHeight="true" outlineLevel="0" collapsed="false">
      <c r="A44" s="2" t="s">
        <v>254</v>
      </c>
      <c r="B44" s="3" t="s">
        <v>203</v>
      </c>
      <c r="C44" s="3" t="s">
        <v>255</v>
      </c>
      <c r="D44" s="3" t="s">
        <v>256</v>
      </c>
      <c r="E44" s="3" t="s">
        <v>25</v>
      </c>
      <c r="F44" s="3" t="s">
        <v>36</v>
      </c>
      <c r="G44" s="3" t="s">
        <v>257</v>
      </c>
      <c r="H44" s="3" t="s">
        <v>258</v>
      </c>
      <c r="I44" s="10" t="s">
        <v>111</v>
      </c>
      <c r="J44" s="3" t="s">
        <v>259</v>
      </c>
      <c r="K44" s="3" t="s">
        <v>260</v>
      </c>
      <c r="L44" s="3" t="s">
        <v>261</v>
      </c>
    </row>
    <row r="45" customFormat="false" ht="57.75" hidden="false" customHeight="true" outlineLevel="0" collapsed="false">
      <c r="A45" s="4" t="s">
        <v>262</v>
      </c>
      <c r="B45" s="5" t="s">
        <v>203</v>
      </c>
      <c r="C45" s="5" t="s">
        <v>255</v>
      </c>
      <c r="D45" s="5" t="s">
        <v>263</v>
      </c>
      <c r="E45" s="5" t="s">
        <v>16</v>
      </c>
      <c r="F45" s="5" t="s">
        <v>210</v>
      </c>
      <c r="G45" s="5" t="s">
        <v>264</v>
      </c>
      <c r="H45" s="5" t="s">
        <v>265</v>
      </c>
      <c r="I45" s="5" t="s">
        <v>20</v>
      </c>
      <c r="J45" s="5"/>
      <c r="K45" s="5" t="s">
        <v>266</v>
      </c>
      <c r="L45" s="5" t="s">
        <v>261</v>
      </c>
    </row>
    <row r="46" customFormat="false" ht="57.75" hidden="false" customHeight="true" outlineLevel="0" collapsed="false">
      <c r="A46" s="7" t="s">
        <v>267</v>
      </c>
      <c r="B46" s="8" t="s">
        <v>203</v>
      </c>
      <c r="C46" s="8" t="s">
        <v>243</v>
      </c>
      <c r="D46" s="8" t="s">
        <v>268</v>
      </c>
      <c r="E46" s="8" t="s">
        <v>54</v>
      </c>
      <c r="F46" s="8" t="s">
        <v>17</v>
      </c>
      <c r="G46" s="8" t="s">
        <v>269</v>
      </c>
      <c r="H46" s="8" t="s">
        <v>270</v>
      </c>
      <c r="I46" s="9" t="s">
        <v>153</v>
      </c>
      <c r="J46" s="9" t="s">
        <v>240</v>
      </c>
      <c r="K46" s="8" t="s">
        <v>271</v>
      </c>
      <c r="L46" s="8" t="s">
        <v>272</v>
      </c>
    </row>
    <row r="47" customFormat="false" ht="57.75" hidden="false" customHeight="true" outlineLevel="0" collapsed="false">
      <c r="A47" s="7" t="s">
        <v>273</v>
      </c>
      <c r="B47" s="8" t="s">
        <v>203</v>
      </c>
      <c r="C47" s="8" t="s">
        <v>243</v>
      </c>
      <c r="D47" s="8" t="s">
        <v>274</v>
      </c>
      <c r="E47" s="8" t="s">
        <v>54</v>
      </c>
      <c r="F47" s="8" t="s">
        <v>17</v>
      </c>
      <c r="G47" s="8" t="s">
        <v>275</v>
      </c>
      <c r="H47" s="8" t="s">
        <v>276</v>
      </c>
      <c r="I47" s="9" t="s">
        <v>153</v>
      </c>
      <c r="J47" s="9" t="s">
        <v>240</v>
      </c>
      <c r="K47" s="8" t="s">
        <v>277</v>
      </c>
      <c r="L47" s="8" t="s">
        <v>272</v>
      </c>
    </row>
    <row r="48" customFormat="false" ht="57.75" hidden="false" customHeight="true" outlineLevel="0" collapsed="false">
      <c r="A48" s="7" t="s">
        <v>278</v>
      </c>
      <c r="B48" s="8" t="s">
        <v>203</v>
      </c>
      <c r="C48" s="8" t="s">
        <v>279</v>
      </c>
      <c r="D48" s="8" t="s">
        <v>280</v>
      </c>
      <c r="E48" s="8" t="s">
        <v>281</v>
      </c>
      <c r="F48" s="8" t="s">
        <v>17</v>
      </c>
      <c r="G48" s="8" t="s">
        <v>282</v>
      </c>
      <c r="H48" s="8" t="s">
        <v>283</v>
      </c>
      <c r="I48" s="9" t="s">
        <v>153</v>
      </c>
      <c r="J48" s="9" t="s">
        <v>284</v>
      </c>
      <c r="K48" s="8" t="s">
        <v>285</v>
      </c>
      <c r="L48" s="8" t="s">
        <v>272</v>
      </c>
    </row>
    <row r="49" customFormat="false" ht="57.75" hidden="false" customHeight="true" outlineLevel="0" collapsed="false">
      <c r="A49" s="4" t="s">
        <v>286</v>
      </c>
      <c r="B49" s="5" t="s">
        <v>203</v>
      </c>
      <c r="C49" s="5" t="s">
        <v>287</v>
      </c>
      <c r="D49" s="5" t="s">
        <v>288</v>
      </c>
      <c r="E49" s="5" t="s">
        <v>281</v>
      </c>
      <c r="F49" s="5" t="s">
        <v>17</v>
      </c>
      <c r="G49" s="5" t="s">
        <v>289</v>
      </c>
      <c r="H49" s="5" t="s">
        <v>290</v>
      </c>
      <c r="I49" s="5" t="s">
        <v>20</v>
      </c>
      <c r="J49" s="5"/>
      <c r="K49" s="5" t="s">
        <v>138</v>
      </c>
      <c r="L49" s="5" t="s">
        <v>291</v>
      </c>
    </row>
    <row r="50" customFormat="false" ht="57.75" hidden="false" customHeight="true" outlineLevel="0" collapsed="false">
      <c r="A50" s="2" t="s">
        <v>292</v>
      </c>
      <c r="B50" s="3" t="s">
        <v>203</v>
      </c>
      <c r="C50" s="3" t="s">
        <v>287</v>
      </c>
      <c r="D50" s="3" t="s">
        <v>293</v>
      </c>
      <c r="E50" s="3" t="s">
        <v>54</v>
      </c>
      <c r="F50" s="3" t="s">
        <v>17</v>
      </c>
      <c r="G50" s="3" t="s">
        <v>294</v>
      </c>
      <c r="H50" s="3" t="s">
        <v>295</v>
      </c>
      <c r="I50" s="3" t="s">
        <v>20</v>
      </c>
      <c r="J50" s="3"/>
      <c r="K50" s="3" t="s">
        <v>33</v>
      </c>
      <c r="L50" s="3" t="s">
        <v>291</v>
      </c>
    </row>
  </sheetData>
  <autoFilter ref="A1:L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1" t="s">
        <v>296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3" t="s">
        <v>297</v>
      </c>
      <c r="B3" s="12" t="n">
        <f aca="false">COUNTA('Test Cases'!$A$2:$A$50)</f>
        <v>49</v>
      </c>
    </row>
    <row r="4" customFormat="false" ht="15" hidden="false" customHeight="false" outlineLevel="0" collapsed="false">
      <c r="A4" s="12" t="s">
        <v>298</v>
      </c>
      <c r="B4" s="12" t="n">
        <f aca="false">COUNTIF('Test Cases'!$I$2:$I$50,"Pass")</f>
        <v>39</v>
      </c>
    </row>
    <row r="5" customFormat="false" ht="15" hidden="false" customHeight="false" outlineLevel="0" collapsed="false">
      <c r="A5" s="12" t="s">
        <v>299</v>
      </c>
      <c r="B5" s="12" t="n">
        <f aca="false">COUNTIF('Test Cases'!$I$2:$I$50,"Fail")</f>
        <v>8</v>
      </c>
    </row>
    <row r="6" customFormat="false" ht="15" hidden="false" customHeight="false" outlineLevel="0" collapsed="false">
      <c r="A6" s="12" t="s">
        <v>300</v>
      </c>
      <c r="B6" s="12" t="n">
        <f aca="false">COUNTIF('Test Cases'!$I$2:$I$50,"Skipped")</f>
        <v>2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2" t="s">
        <v>301</v>
      </c>
      <c r="B8" s="12" t="n">
        <f aca="false">COUNTIF('Test Cases'!$B$2:$B$50,"FinServe")</f>
        <v>33</v>
      </c>
    </row>
    <row r="9" customFormat="false" ht="15" hidden="false" customHeight="false" outlineLevel="0" collapsed="false">
      <c r="A9" s="12" t="s">
        <v>302</v>
      </c>
      <c r="B9" s="12" t="n">
        <f aca="false">COUNTIF('Test Cases'!$B$2:$B$50,"Order Entry")</f>
        <v>16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2" t="s">
        <v>16</v>
      </c>
      <c r="B11" s="12" t="n">
        <f aca="false">COUNTIF('Test Cases'!$E$2:$E$50,"Positive")</f>
        <v>18</v>
      </c>
    </row>
    <row r="12" customFormat="false" ht="15" hidden="false" customHeight="false" outlineLevel="0" collapsed="false">
      <c r="A12" s="12" t="s">
        <v>25</v>
      </c>
      <c r="B12" s="12" t="n">
        <f aca="false">COUNTIF('Test Cases'!$E$2:$E$50,"Negative")</f>
        <v>10</v>
      </c>
    </row>
    <row r="13" customFormat="false" ht="15" hidden="false" customHeight="false" outlineLevel="0" collapsed="false">
      <c r="A13" s="12" t="s">
        <v>54</v>
      </c>
      <c r="B13" s="12" t="n">
        <f aca="false">COUNTIF('Test Cases'!$E$2:$E$50,"Boundary")</f>
        <v>12</v>
      </c>
    </row>
    <row r="14" customFormat="false" ht="15" hidden="false" customHeight="false" outlineLevel="0" collapsed="false">
      <c r="A14" s="12" t="s">
        <v>66</v>
      </c>
      <c r="B14" s="12" t="n">
        <f aca="false">COUNTIF('Test Cases'!$E$2:$E$50,"Reconciliation")</f>
        <v>7</v>
      </c>
    </row>
    <row r="15" customFormat="false" ht="15" hidden="false" customHeight="false" outlineLevel="0" collapsed="false">
      <c r="A15" s="12" t="s">
        <v>281</v>
      </c>
      <c r="B15" s="12" t="n">
        <f aca="false">COUNTIF('Test Cases'!$E$2:$E$50,"Calculation")</f>
        <v>2</v>
      </c>
    </row>
    <row r="18" customFormat="false" ht="109.5" hidden="false" customHeight="true" outlineLevel="0" collapsed="false">
      <c r="A18" s="14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3" min="3" style="0" width="11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9</v>
      </c>
      <c r="B1" s="1" t="s">
        <v>304</v>
      </c>
      <c r="C1" s="1" t="s">
        <v>305</v>
      </c>
      <c r="D1" s="1" t="s">
        <v>306</v>
      </c>
    </row>
    <row r="2" customFormat="false" ht="33.75" hidden="false" customHeight="true" outlineLevel="0" collapsed="false">
      <c r="A2" s="4" t="s">
        <v>196</v>
      </c>
      <c r="B2" s="5" t="s">
        <v>307</v>
      </c>
      <c r="C2" s="5" t="s">
        <v>17</v>
      </c>
      <c r="D2" s="5" t="s">
        <v>193</v>
      </c>
    </row>
    <row r="3" customFormat="false" ht="33.75" hidden="false" customHeight="true" outlineLevel="0" collapsed="false">
      <c r="A3" s="4" t="s">
        <v>88</v>
      </c>
      <c r="B3" s="5" t="s">
        <v>308</v>
      </c>
      <c r="C3" s="5" t="s">
        <v>17</v>
      </c>
      <c r="D3" s="5" t="s">
        <v>83</v>
      </c>
    </row>
    <row r="4" customFormat="false" ht="33.75" hidden="false" customHeight="true" outlineLevel="0" collapsed="false">
      <c r="A4" s="4" t="s">
        <v>154</v>
      </c>
      <c r="B4" s="5" t="s">
        <v>309</v>
      </c>
      <c r="C4" s="5" t="s">
        <v>17</v>
      </c>
      <c r="D4" s="5" t="s">
        <v>310</v>
      </c>
    </row>
    <row r="5" customFormat="false" ht="33.75" hidden="false" customHeight="true" outlineLevel="0" collapsed="false">
      <c r="A5" s="4" t="s">
        <v>259</v>
      </c>
      <c r="B5" s="5" t="s">
        <v>311</v>
      </c>
      <c r="C5" s="5" t="s">
        <v>36</v>
      </c>
      <c r="D5" s="5" t="s">
        <v>254</v>
      </c>
    </row>
    <row r="6" customFormat="false" ht="33.75" hidden="false" customHeight="true" outlineLevel="0" collapsed="false">
      <c r="A6" s="4" t="s">
        <v>240</v>
      </c>
      <c r="B6" s="5" t="s">
        <v>312</v>
      </c>
      <c r="C6" s="5" t="s">
        <v>17</v>
      </c>
      <c r="D6" s="5" t="s">
        <v>313</v>
      </c>
    </row>
    <row r="7" customFormat="false" ht="33.75" hidden="false" customHeight="true" outlineLevel="0" collapsed="false">
      <c r="A7" s="4" t="s">
        <v>284</v>
      </c>
      <c r="B7" s="5" t="s">
        <v>314</v>
      </c>
      <c r="C7" s="5" t="s">
        <v>36</v>
      </c>
      <c r="D7" s="5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2026-09-03T19:01:32Z</dcterms:created>
  <dc:creator>openpyxl</dc:creator>
  <dc:description/>
  <dc:language>en-US</dc:language>
  <cp:lastModifiedBy/>
  <dcterms:modified xsi:type="dcterms:W3CDTF">2026-09-03T19:01:32Z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